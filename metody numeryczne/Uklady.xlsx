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Arkusz1" sheetId="1" r:id="rId1"/>
    <sheet name="Arkusz2" sheetId="2" r:id="rId2"/>
    <sheet name="Arkusz3" sheetId="3" r:id="rId3"/>
  </sheets>
  <calcPr calcId="145621"/>
</workbook>
</file>

<file path=xl/calcChain.xml><?xml version="1.0" encoding="utf-8"?>
<calcChain xmlns="http://schemas.openxmlformats.org/spreadsheetml/2006/main">
  <c r="Z24" i="1" l="1"/>
  <c r="Z23" i="1"/>
  <c r="V21" i="1"/>
  <c r="W21" i="1"/>
  <c r="U21" i="1"/>
  <c r="U15" i="1"/>
  <c r="V15" i="1"/>
  <c r="W15" i="1"/>
  <c r="T15" i="1"/>
  <c r="U14" i="1"/>
  <c r="V14" i="1"/>
  <c r="W14" i="1"/>
  <c r="T14" i="1"/>
  <c r="T9" i="1"/>
  <c r="U9" i="1"/>
  <c r="V9" i="1"/>
  <c r="W9" i="1"/>
  <c r="S9" i="1"/>
  <c r="T8" i="1"/>
  <c r="U8" i="1"/>
  <c r="V8" i="1"/>
  <c r="W8" i="1"/>
  <c r="S8" i="1"/>
  <c r="T7" i="1"/>
  <c r="T13" i="1" s="1"/>
  <c r="T19" i="1" s="1"/>
  <c r="U7" i="1"/>
  <c r="U13" i="1" s="1"/>
  <c r="U19" i="1" s="1"/>
  <c r="V7" i="1"/>
  <c r="W7" i="1"/>
  <c r="W13" i="1" s="1"/>
  <c r="W19" i="1" s="1"/>
  <c r="S7" i="1"/>
  <c r="S6" i="1"/>
  <c r="W20" i="1"/>
  <c r="S14" i="1"/>
  <c r="S20" i="1" s="1"/>
  <c r="V13" i="1"/>
  <c r="V19" i="1" s="1"/>
  <c r="S13" i="1"/>
  <c r="S19" i="1" s="1"/>
  <c r="W6" i="1"/>
  <c r="W12" i="1" s="1"/>
  <c r="W18" i="1" s="1"/>
  <c r="V6" i="1"/>
  <c r="V12" i="1" s="1"/>
  <c r="V18" i="1" s="1"/>
  <c r="U6" i="1"/>
  <c r="U12" i="1" s="1"/>
  <c r="U18" i="1" s="1"/>
  <c r="T6" i="1"/>
  <c r="T12" i="1" s="1"/>
  <c r="T18" i="1" s="1"/>
  <c r="S12" i="1"/>
  <c r="S18" i="1" s="1"/>
  <c r="X4" i="1"/>
  <c r="X3" i="1"/>
  <c r="X2" i="1"/>
  <c r="M12" i="2"/>
  <c r="M3" i="2"/>
  <c r="M4" i="2"/>
  <c r="M5" i="2"/>
  <c r="M6" i="2"/>
  <c r="M7" i="2"/>
  <c r="M8" i="2"/>
  <c r="M9" i="2"/>
  <c r="M10" i="2"/>
  <c r="M11" i="2"/>
  <c r="M2" i="2"/>
  <c r="N12" i="2"/>
  <c r="L12" i="2"/>
  <c r="O12" i="2"/>
  <c r="P12" i="2"/>
  <c r="Q12" i="2"/>
  <c r="R12" i="2"/>
  <c r="K12" i="2"/>
  <c r="J12" i="2"/>
  <c r="I12" i="2"/>
  <c r="R3" i="2"/>
  <c r="R4" i="2"/>
  <c r="R5" i="2"/>
  <c r="R6" i="2"/>
  <c r="R7" i="2"/>
  <c r="R8" i="2"/>
  <c r="R9" i="2"/>
  <c r="R10" i="2"/>
  <c r="R11" i="2"/>
  <c r="R2" i="2"/>
  <c r="Q3" i="2"/>
  <c r="Q4" i="2"/>
  <c r="Q5" i="2"/>
  <c r="Q6" i="2"/>
  <c r="Q7" i="2"/>
  <c r="Q8" i="2"/>
  <c r="Q9" i="2"/>
  <c r="Q10" i="2"/>
  <c r="Q11" i="2"/>
  <c r="Q2" i="2"/>
  <c r="P3" i="2"/>
  <c r="P4" i="2"/>
  <c r="P5" i="2"/>
  <c r="P6" i="2"/>
  <c r="P7" i="2"/>
  <c r="P8" i="2"/>
  <c r="P9" i="2"/>
  <c r="P10" i="2"/>
  <c r="P11" i="2"/>
  <c r="P2" i="2"/>
  <c r="O3" i="2"/>
  <c r="O4" i="2"/>
  <c r="O5" i="2"/>
  <c r="O6" i="2"/>
  <c r="O7" i="2"/>
  <c r="O8" i="2"/>
  <c r="O9" i="2"/>
  <c r="O10" i="2"/>
  <c r="O11" i="2"/>
  <c r="O2" i="2"/>
  <c r="N3" i="2"/>
  <c r="N4" i="2"/>
  <c r="N5" i="2"/>
  <c r="N6" i="2"/>
  <c r="N7" i="2"/>
  <c r="N8" i="2"/>
  <c r="N9" i="2"/>
  <c r="N10" i="2"/>
  <c r="N11" i="2"/>
  <c r="N2" i="2"/>
  <c r="L11" i="2"/>
  <c r="L3" i="2"/>
  <c r="L4" i="2"/>
  <c r="L5" i="2"/>
  <c r="L6" i="2"/>
  <c r="L7" i="2"/>
  <c r="L8" i="2"/>
  <c r="L9" i="2"/>
  <c r="L10" i="2"/>
  <c r="L2" i="2"/>
  <c r="K3" i="2"/>
  <c r="K4" i="2"/>
  <c r="K5" i="2"/>
  <c r="K6" i="2"/>
  <c r="K7" i="2"/>
  <c r="K8" i="2"/>
  <c r="K9" i="2"/>
  <c r="K10" i="2"/>
  <c r="K11" i="2"/>
  <c r="K2" i="2"/>
  <c r="I4" i="2"/>
  <c r="I5" i="2" s="1"/>
  <c r="I6" i="2" s="1"/>
  <c r="I7" i="2" s="1"/>
  <c r="I8" i="2" s="1"/>
  <c r="I9" i="2" s="1"/>
  <c r="I10" i="2" s="1"/>
  <c r="I11" i="2" s="1"/>
  <c r="I3" i="2"/>
  <c r="B18" i="2"/>
  <c r="B17" i="2"/>
  <c r="F16" i="1"/>
  <c r="B15" i="2"/>
  <c r="C15" i="2"/>
  <c r="A15" i="2"/>
  <c r="A7" i="1"/>
  <c r="C14" i="2"/>
  <c r="B14" i="2"/>
  <c r="A14" i="2"/>
  <c r="D11" i="2"/>
  <c r="C11" i="2"/>
  <c r="C10" i="2"/>
  <c r="E7" i="2"/>
  <c r="E3" i="2"/>
  <c r="E4" i="2"/>
  <c r="E5" i="2"/>
  <c r="E6" i="2"/>
  <c r="E2" i="2"/>
  <c r="B10" i="2"/>
  <c r="A11" i="2"/>
  <c r="A10" i="2"/>
  <c r="D7" i="2"/>
  <c r="C7" i="2"/>
  <c r="B7" i="2"/>
  <c r="A7" i="2"/>
  <c r="D3" i="2"/>
  <c r="D4" i="2"/>
  <c r="D5" i="2"/>
  <c r="D6" i="2"/>
  <c r="D2" i="2"/>
  <c r="C3" i="2"/>
  <c r="C4" i="2"/>
  <c r="C5" i="2"/>
  <c r="C6" i="2"/>
  <c r="C2" i="2"/>
  <c r="V20" i="1" l="1"/>
  <c r="T20" i="1"/>
  <c r="U20" i="1"/>
  <c r="S15" i="1"/>
  <c r="S21" i="1" s="1"/>
  <c r="X9" i="1"/>
  <c r="X8" i="1"/>
  <c r="J6" i="1"/>
  <c r="J12" i="1" s="1"/>
  <c r="J18" i="1" s="1"/>
  <c r="K6" i="1"/>
  <c r="K12" i="1" s="1"/>
  <c r="K18" i="1" s="1"/>
  <c r="L6" i="1"/>
  <c r="L12" i="1" s="1"/>
  <c r="L18" i="1" s="1"/>
  <c r="M6" i="1"/>
  <c r="M12" i="1" s="1"/>
  <c r="M18" i="1" s="1"/>
  <c r="I6" i="1"/>
  <c r="I12" i="1" s="1"/>
  <c r="I18" i="1" s="1"/>
  <c r="B12" i="1"/>
  <c r="C12" i="1"/>
  <c r="D12" i="1"/>
  <c r="A12" i="1"/>
  <c r="B11" i="1"/>
  <c r="C11" i="1"/>
  <c r="D11" i="1"/>
  <c r="A11" i="1"/>
  <c r="B6" i="1"/>
  <c r="C6" i="1"/>
  <c r="D6" i="1"/>
  <c r="A6" i="1"/>
  <c r="E8" i="1"/>
  <c r="E3" i="1"/>
  <c r="N4" i="1"/>
  <c r="L9" i="1" s="1"/>
  <c r="N3" i="1"/>
  <c r="K8" i="1" s="1"/>
  <c r="N2" i="1"/>
  <c r="I7" i="1" s="1"/>
  <c r="I13" i="1" s="1"/>
  <c r="I19" i="1" s="1"/>
  <c r="E2" i="1"/>
  <c r="B13" i="1"/>
  <c r="C13" i="1"/>
  <c r="D13" i="1"/>
  <c r="A13" i="1"/>
  <c r="B8" i="1"/>
  <c r="C8" i="1"/>
  <c r="D8" i="1"/>
  <c r="A8" i="1"/>
  <c r="B7" i="1"/>
  <c r="C7" i="1"/>
  <c r="D7" i="1"/>
  <c r="X15" i="1" l="1"/>
  <c r="T21" i="1"/>
  <c r="K9" i="1"/>
  <c r="J9" i="1"/>
  <c r="I8" i="1"/>
  <c r="J8" i="1"/>
  <c r="I9" i="1"/>
  <c r="M8" i="1"/>
  <c r="L8" i="1"/>
  <c r="M7" i="1"/>
  <c r="M13" i="1" s="1"/>
  <c r="M19" i="1" s="1"/>
  <c r="L7" i="1"/>
  <c r="L13" i="1" s="1"/>
  <c r="L19" i="1" s="1"/>
  <c r="K7" i="1"/>
  <c r="K13" i="1" s="1"/>
  <c r="K19" i="1" s="1"/>
  <c r="J7" i="1"/>
  <c r="J13" i="1" s="1"/>
  <c r="J19" i="1" s="1"/>
  <c r="M9" i="1"/>
  <c r="F17" i="1"/>
  <c r="F18" i="1"/>
  <c r="Z25" i="1" l="1"/>
  <c r="Z26" i="1" s="1"/>
  <c r="N9" i="1"/>
  <c r="N8" i="1"/>
  <c r="L14" i="1" s="1"/>
  <c r="L20" i="1" s="1"/>
  <c r="K14" i="1" l="1"/>
  <c r="K20" i="1" s="1"/>
  <c r="I14" i="1"/>
  <c r="I20" i="1" s="1"/>
  <c r="J14" i="1"/>
  <c r="J20" i="1" s="1"/>
  <c r="J15" i="1"/>
  <c r="I15" i="1"/>
  <c r="L15" i="1"/>
  <c r="K15" i="1"/>
  <c r="M14" i="1"/>
  <c r="M20" i="1" s="1"/>
  <c r="M15" i="1"/>
  <c r="N15" i="1" l="1"/>
  <c r="K21" i="1" s="1"/>
  <c r="I21" i="1"/>
  <c r="J21" i="1" l="1"/>
  <c r="M21" i="1"/>
  <c r="L21" i="1"/>
  <c r="P23" i="1" l="1"/>
  <c r="P24" i="1" s="1"/>
  <c r="P25" i="1" s="1"/>
  <c r="P26" i="1" s="1"/>
</calcChain>
</file>

<file path=xl/sharedStrings.xml><?xml version="1.0" encoding="utf-8"?>
<sst xmlns="http://schemas.openxmlformats.org/spreadsheetml/2006/main" count="30" uniqueCount="19">
  <si>
    <t>x_3</t>
  </si>
  <si>
    <t>x_2</t>
  </si>
  <si>
    <t>x_1</t>
  </si>
  <si>
    <t>x_4</t>
  </si>
  <si>
    <t>x</t>
  </si>
  <si>
    <t>y</t>
  </si>
  <si>
    <t>x^2</t>
  </si>
  <si>
    <t>y^2</t>
  </si>
  <si>
    <t>suma</t>
  </si>
  <si>
    <t>x*y</t>
  </si>
  <si>
    <t>b</t>
  </si>
  <si>
    <t>a</t>
  </si>
  <si>
    <t>x^3</t>
  </si>
  <si>
    <t>x^5</t>
  </si>
  <si>
    <t>x^6</t>
  </si>
  <si>
    <t>y*x</t>
  </si>
  <si>
    <t>y*x^2</t>
  </si>
  <si>
    <t>y*x^3</t>
  </si>
  <si>
    <t>x^4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</si>
</sst>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Dobre" xfId="1" builtinId="26"/>
    <cellStyle name="Neutralne" xfId="2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abSelected="1" workbookViewId="0">
      <selection activeCell="Z25" sqref="Z25"/>
    </sheetView>
  </sheetViews>
  <sheetFormatPr defaultRowHeight="15" x14ac:dyDescent="0.25"/>
  <cols>
    <col min="6" max="6" width="12.140625" customWidth="1"/>
  </cols>
  <sheetData>
    <row r="1" spans="1:24" x14ac:dyDescent="0.25">
      <c r="A1" s="1">
        <v>2</v>
      </c>
      <c r="B1" s="1">
        <v>3</v>
      </c>
      <c r="C1" s="1">
        <v>-1</v>
      </c>
      <c r="D1" s="1">
        <v>1</v>
      </c>
      <c r="I1" s="2">
        <v>6</v>
      </c>
      <c r="J1" s="2">
        <v>-2</v>
      </c>
      <c r="K1" s="2">
        <v>2</v>
      </c>
      <c r="L1" s="2">
        <v>4</v>
      </c>
      <c r="M1" s="2">
        <v>12</v>
      </c>
      <c r="S1">
        <v>10</v>
      </c>
      <c r="T1">
        <v>7.4999999999999991</v>
      </c>
      <c r="U1">
        <v>6.4499999999999993</v>
      </c>
      <c r="V1">
        <v>6.0749999999999984</v>
      </c>
      <c r="W1">
        <v>4.4130000000000003</v>
      </c>
    </row>
    <row r="2" spans="1:24" x14ac:dyDescent="0.25">
      <c r="A2" s="1">
        <v>1</v>
      </c>
      <c r="B2" s="1">
        <v>-2</v>
      </c>
      <c r="C2" s="1">
        <v>4</v>
      </c>
      <c r="D2" s="1">
        <v>-1</v>
      </c>
      <c r="E2">
        <f>A2/A1</f>
        <v>0.5</v>
      </c>
      <c r="I2" s="2">
        <v>12</v>
      </c>
      <c r="J2" s="2">
        <v>-8</v>
      </c>
      <c r="K2" s="2">
        <v>6</v>
      </c>
      <c r="L2" s="2">
        <v>10</v>
      </c>
      <c r="M2" s="2">
        <v>34</v>
      </c>
      <c r="N2">
        <f>I2/I1</f>
        <v>2</v>
      </c>
      <c r="S2">
        <v>7.4999999999999991</v>
      </c>
      <c r="T2">
        <v>6.4499999999999993</v>
      </c>
      <c r="U2">
        <v>6.0749999999999984</v>
      </c>
      <c r="V2">
        <v>6.0692999999999984</v>
      </c>
      <c r="W2">
        <v>3.5343999999999998</v>
      </c>
      <c r="X2">
        <f>S2/S1</f>
        <v>0.74999999999999989</v>
      </c>
    </row>
    <row r="3" spans="1:24" x14ac:dyDescent="0.25">
      <c r="A3" s="1">
        <v>-4</v>
      </c>
      <c r="B3" s="1">
        <v>1</v>
      </c>
      <c r="C3" s="1">
        <v>3</v>
      </c>
      <c r="D3" s="1">
        <v>0</v>
      </c>
      <c r="E3">
        <f>A3/A1</f>
        <v>-2</v>
      </c>
      <c r="I3" s="2">
        <v>3</v>
      </c>
      <c r="J3" s="2">
        <v>-13</v>
      </c>
      <c r="K3" s="2">
        <v>9</v>
      </c>
      <c r="L3" s="2">
        <v>3</v>
      </c>
      <c r="M3" s="2">
        <v>27</v>
      </c>
      <c r="N3">
        <f>I3/I1</f>
        <v>0.5</v>
      </c>
      <c r="S3">
        <v>6.4499999999999993</v>
      </c>
      <c r="T3">
        <v>6.0749999999999984</v>
      </c>
      <c r="U3">
        <v>6.0692999999999984</v>
      </c>
      <c r="V3">
        <v>6.3067499999999974</v>
      </c>
      <c r="W3">
        <v>3.2285199999999996</v>
      </c>
      <c r="X3">
        <f>S3/S1</f>
        <v>0.64499999999999991</v>
      </c>
    </row>
    <row r="4" spans="1:24" x14ac:dyDescent="0.25">
      <c r="I4" s="2">
        <v>-6</v>
      </c>
      <c r="J4" s="2">
        <v>4</v>
      </c>
      <c r="K4" s="2">
        <v>1</v>
      </c>
      <c r="L4" s="2">
        <v>-18</v>
      </c>
      <c r="M4" s="2">
        <v>-38</v>
      </c>
      <c r="N4">
        <f>I4/I1</f>
        <v>-1</v>
      </c>
      <c r="S4">
        <v>6.0749999999999984</v>
      </c>
      <c r="T4">
        <v>6.0692999999999984</v>
      </c>
      <c r="U4">
        <v>6.3067499999999974</v>
      </c>
      <c r="V4">
        <v>6.7358849999999979</v>
      </c>
      <c r="W4">
        <v>3.194475999999999</v>
      </c>
      <c r="X4">
        <f>S4/S1</f>
        <v>0.60749999999999982</v>
      </c>
    </row>
    <row r="6" spans="1:24" x14ac:dyDescent="0.25">
      <c r="A6" s="1">
        <f>A1</f>
        <v>2</v>
      </c>
      <c r="B6" s="1">
        <f t="shared" ref="B6:D6" si="0">B1</f>
        <v>3</v>
      </c>
      <c r="C6" s="1">
        <f t="shared" si="0"/>
        <v>-1</v>
      </c>
      <c r="D6" s="1">
        <f t="shared" si="0"/>
        <v>1</v>
      </c>
      <c r="I6" s="2">
        <f>I1</f>
        <v>6</v>
      </c>
      <c r="J6" s="2">
        <f t="shared" ref="J6:M6" si="1">J1</f>
        <v>-2</v>
      </c>
      <c r="K6" s="2">
        <f t="shared" si="1"/>
        <v>2</v>
      </c>
      <c r="L6" s="2">
        <f t="shared" si="1"/>
        <v>4</v>
      </c>
      <c r="M6" s="2">
        <f t="shared" si="1"/>
        <v>12</v>
      </c>
      <c r="S6">
        <f>S1</f>
        <v>10</v>
      </c>
      <c r="T6">
        <f t="shared" ref="T6:W6" si="2">T1</f>
        <v>7.4999999999999991</v>
      </c>
      <c r="U6">
        <f t="shared" si="2"/>
        <v>6.4499999999999993</v>
      </c>
      <c r="V6">
        <f t="shared" si="2"/>
        <v>6.0749999999999984</v>
      </c>
      <c r="W6">
        <f t="shared" si="2"/>
        <v>4.4130000000000003</v>
      </c>
    </row>
    <row r="7" spans="1:24" x14ac:dyDescent="0.25">
      <c r="A7" s="1">
        <f>A2-$E$2*A1</f>
        <v>0</v>
      </c>
      <c r="B7" s="1">
        <f t="shared" ref="B7:D7" si="3">B2-$E$2*B1</f>
        <v>-3.5</v>
      </c>
      <c r="C7" s="1">
        <f t="shared" si="3"/>
        <v>4.5</v>
      </c>
      <c r="D7" s="1">
        <f t="shared" si="3"/>
        <v>-1.5</v>
      </c>
      <c r="I7" s="2">
        <f>I2-$N$2*I1</f>
        <v>0</v>
      </c>
      <c r="J7" s="2">
        <f t="shared" ref="J7:M7" si="4">J2-$N$2*J1</f>
        <v>-4</v>
      </c>
      <c r="K7" s="2">
        <f t="shared" si="4"/>
        <v>2</v>
      </c>
      <c r="L7" s="2">
        <f t="shared" si="4"/>
        <v>2</v>
      </c>
      <c r="M7" s="2">
        <f t="shared" si="4"/>
        <v>10</v>
      </c>
      <c r="S7">
        <f>S2-$X$2*S1</f>
        <v>0</v>
      </c>
      <c r="T7">
        <f t="shared" ref="T7:W7" si="5">T2-$X$2*T1</f>
        <v>0.82500000000000107</v>
      </c>
      <c r="U7">
        <f t="shared" si="5"/>
        <v>1.2374999999999998</v>
      </c>
      <c r="V7">
        <f t="shared" si="5"/>
        <v>1.5130500000000007</v>
      </c>
      <c r="W7">
        <f t="shared" si="5"/>
        <v>0.22465000000000002</v>
      </c>
    </row>
    <row r="8" spans="1:24" x14ac:dyDescent="0.25">
      <c r="A8" s="1">
        <f>A3-$E$3*A1</f>
        <v>0</v>
      </c>
      <c r="B8" s="1">
        <f t="shared" ref="B8:D8" si="6">B3-$E$3*B1</f>
        <v>7</v>
      </c>
      <c r="C8" s="1">
        <f t="shared" si="6"/>
        <v>1</v>
      </c>
      <c r="D8" s="1">
        <f t="shared" si="6"/>
        <v>2</v>
      </c>
      <c r="E8">
        <f>B8/B7</f>
        <v>-2</v>
      </c>
      <c r="I8" s="2">
        <f>I3-$N$3*I1</f>
        <v>0</v>
      </c>
      <c r="J8" s="2">
        <f t="shared" ref="J8:M8" si="7">J3-$N$3*J1</f>
        <v>-12</v>
      </c>
      <c r="K8" s="2">
        <f t="shared" si="7"/>
        <v>8</v>
      </c>
      <c r="L8" s="2">
        <f t="shared" si="7"/>
        <v>1</v>
      </c>
      <c r="M8" s="2">
        <f t="shared" si="7"/>
        <v>21</v>
      </c>
      <c r="N8">
        <f>J8/J7</f>
        <v>3</v>
      </c>
      <c r="S8">
        <f>S3-$X$3*S1</f>
        <v>0</v>
      </c>
      <c r="T8">
        <f t="shared" ref="T8:W8" si="8">T3-$X$3*T1</f>
        <v>1.2374999999999998</v>
      </c>
      <c r="U8">
        <f t="shared" si="8"/>
        <v>1.9090499999999997</v>
      </c>
      <c r="V8">
        <f t="shared" si="8"/>
        <v>2.388374999999999</v>
      </c>
      <c r="W8">
        <f t="shared" si="8"/>
        <v>0.38213499999999989</v>
      </c>
      <c r="X8">
        <f>T8/T7</f>
        <v>1.4999999999999978</v>
      </c>
    </row>
    <row r="9" spans="1:24" x14ac:dyDescent="0.25">
      <c r="I9" s="2">
        <f>I4-$N$4*I1</f>
        <v>0</v>
      </c>
      <c r="J9" s="2">
        <f t="shared" ref="J9:M9" si="9">J4-$N$4*J1</f>
        <v>2</v>
      </c>
      <c r="K9" s="2">
        <f t="shared" si="9"/>
        <v>3</v>
      </c>
      <c r="L9" s="2">
        <f t="shared" si="9"/>
        <v>-14</v>
      </c>
      <c r="M9" s="2">
        <f t="shared" si="9"/>
        <v>-26</v>
      </c>
      <c r="N9">
        <f>J9/J7</f>
        <v>-0.5</v>
      </c>
      <c r="S9">
        <f>S4-$X$4*S1</f>
        <v>0</v>
      </c>
      <c r="T9">
        <f t="shared" ref="T9:W9" si="10">T4-$X$4*T1</f>
        <v>1.5130500000000007</v>
      </c>
      <c r="U9">
        <f t="shared" si="10"/>
        <v>2.388374999999999</v>
      </c>
      <c r="V9">
        <f t="shared" si="10"/>
        <v>3.0453225000000002</v>
      </c>
      <c r="W9">
        <f t="shared" si="10"/>
        <v>0.51357849999999949</v>
      </c>
      <c r="X9">
        <f>T9/T7</f>
        <v>1.8339999999999985</v>
      </c>
    </row>
    <row r="11" spans="1:24" x14ac:dyDescent="0.25">
      <c r="A11" s="1">
        <f>A6</f>
        <v>2</v>
      </c>
      <c r="B11" s="1">
        <f t="shared" ref="B11:D11" si="11">B6</f>
        <v>3</v>
      </c>
      <c r="C11" s="1">
        <f t="shared" si="11"/>
        <v>-1</v>
      </c>
      <c r="D11" s="1">
        <f t="shared" si="11"/>
        <v>1</v>
      </c>
    </row>
    <row r="12" spans="1:24" x14ac:dyDescent="0.25">
      <c r="A12" s="1">
        <f>A7</f>
        <v>0</v>
      </c>
      <c r="B12" s="1">
        <f t="shared" ref="B12:D12" si="12">B7</f>
        <v>-3.5</v>
      </c>
      <c r="C12" s="1">
        <f t="shared" si="12"/>
        <v>4.5</v>
      </c>
      <c r="D12" s="1">
        <f t="shared" si="12"/>
        <v>-1.5</v>
      </c>
      <c r="I12" s="2">
        <f>I6</f>
        <v>6</v>
      </c>
      <c r="J12" s="2">
        <f t="shared" ref="J12:M12" si="13">J6</f>
        <v>-2</v>
      </c>
      <c r="K12" s="2">
        <f t="shared" si="13"/>
        <v>2</v>
      </c>
      <c r="L12" s="2">
        <f t="shared" si="13"/>
        <v>4</v>
      </c>
      <c r="M12" s="2">
        <f t="shared" si="13"/>
        <v>12</v>
      </c>
      <c r="S12">
        <f>S6</f>
        <v>10</v>
      </c>
      <c r="T12">
        <f t="shared" ref="T12:W12" si="14">T6</f>
        <v>7.4999999999999991</v>
      </c>
      <c r="U12">
        <f t="shared" si="14"/>
        <v>6.4499999999999993</v>
      </c>
      <c r="V12">
        <f t="shared" si="14"/>
        <v>6.0749999999999984</v>
      </c>
      <c r="W12">
        <f t="shared" si="14"/>
        <v>4.4130000000000003</v>
      </c>
    </row>
    <row r="13" spans="1:24" x14ac:dyDescent="0.25">
      <c r="A13" s="1">
        <f>A8-$E$8*A7</f>
        <v>0</v>
      </c>
      <c r="B13" s="1">
        <f t="shared" ref="B13:D13" si="15">B8-$E$8*B7</f>
        <v>0</v>
      </c>
      <c r="C13" s="1">
        <f t="shared" si="15"/>
        <v>10</v>
      </c>
      <c r="D13" s="1">
        <f t="shared" si="15"/>
        <v>-1</v>
      </c>
      <c r="I13" s="2">
        <f>I7</f>
        <v>0</v>
      </c>
      <c r="J13" s="2">
        <f t="shared" ref="J13:M13" si="16">J7</f>
        <v>-4</v>
      </c>
      <c r="K13" s="2">
        <f t="shared" si="16"/>
        <v>2</v>
      </c>
      <c r="L13" s="2">
        <f t="shared" si="16"/>
        <v>2</v>
      </c>
      <c r="M13" s="2">
        <f t="shared" si="16"/>
        <v>10</v>
      </c>
      <c r="S13">
        <f>S7</f>
        <v>0</v>
      </c>
      <c r="T13">
        <f t="shared" ref="T13:W13" si="17">T7</f>
        <v>0.82500000000000107</v>
      </c>
      <c r="U13">
        <f t="shared" si="17"/>
        <v>1.2374999999999998</v>
      </c>
      <c r="V13">
        <f t="shared" si="17"/>
        <v>1.5130500000000007</v>
      </c>
      <c r="W13">
        <f t="shared" si="17"/>
        <v>0.22465000000000002</v>
      </c>
    </row>
    <row r="14" spans="1:24" x14ac:dyDescent="0.25">
      <c r="I14" s="2">
        <f>I8-$N$8*I7</f>
        <v>0</v>
      </c>
      <c r="J14" s="2">
        <f t="shared" ref="J14:M14" si="18">J8-$N$8*J7</f>
        <v>0</v>
      </c>
      <c r="K14" s="2">
        <f>K8-$N$8*K7</f>
        <v>2</v>
      </c>
      <c r="L14" s="2">
        <f t="shared" si="18"/>
        <v>-5</v>
      </c>
      <c r="M14" s="2">
        <f t="shared" si="18"/>
        <v>-9</v>
      </c>
      <c r="S14">
        <f>S8-$N$8*S7</f>
        <v>0</v>
      </c>
      <c r="T14">
        <f>T8-$X$8*T7</f>
        <v>0</v>
      </c>
      <c r="U14">
        <f t="shared" ref="U14:W14" si="19">U8-$X$8*U7</f>
        <v>5.2800000000002623E-2</v>
      </c>
      <c r="V14">
        <f t="shared" si="19"/>
        <v>0.11880000000000157</v>
      </c>
      <c r="W14">
        <f t="shared" si="19"/>
        <v>4.5160000000000367E-2</v>
      </c>
    </row>
    <row r="15" spans="1:24" x14ac:dyDescent="0.25">
      <c r="I15" s="2">
        <f>I9-$N$9*I7</f>
        <v>0</v>
      </c>
      <c r="J15" s="2">
        <f>J9-$N$9*J7</f>
        <v>0</v>
      </c>
      <c r="K15" s="2">
        <f>K9-$N$9*K7</f>
        <v>4</v>
      </c>
      <c r="L15" s="2">
        <f t="shared" ref="L15:M15" si="20">L9-$N$9*L7</f>
        <v>-13</v>
      </c>
      <c r="M15" s="2">
        <f t="shared" si="20"/>
        <v>-21</v>
      </c>
      <c r="N15">
        <f>K15/K14</f>
        <v>2</v>
      </c>
      <c r="S15">
        <f>S9-$N$9*S7</f>
        <v>0</v>
      </c>
      <c r="T15">
        <f>T9-$X$9*T7</f>
        <v>0</v>
      </c>
      <c r="U15">
        <f t="shared" ref="U15:W15" si="21">U9-$X$9*U7</f>
        <v>0.11880000000000113</v>
      </c>
      <c r="V15">
        <f t="shared" si="21"/>
        <v>0.27038880000000098</v>
      </c>
      <c r="W15">
        <f t="shared" si="21"/>
        <v>0.10157039999999978</v>
      </c>
      <c r="X15">
        <f>U15/U14</f>
        <v>2.2499999999999094</v>
      </c>
    </row>
    <row r="16" spans="1:24" x14ac:dyDescent="0.25">
      <c r="E16" t="s">
        <v>0</v>
      </c>
      <c r="F16">
        <f>D13/C13</f>
        <v>-0.1</v>
      </c>
    </row>
    <row r="17" spans="5:26" x14ac:dyDescent="0.25">
      <c r="E17" t="s">
        <v>1</v>
      </c>
      <c r="F17">
        <f>(D12-C12*F16)/B12</f>
        <v>0.3</v>
      </c>
    </row>
    <row r="18" spans="5:26" x14ac:dyDescent="0.25">
      <c r="E18" t="s">
        <v>2</v>
      </c>
      <c r="F18">
        <f>(D11-C11*F16-B11*F17)/A11</f>
        <v>5.5511151231257827E-17</v>
      </c>
      <c r="I18" s="2">
        <f>I12</f>
        <v>6</v>
      </c>
      <c r="J18" s="2">
        <f t="shared" ref="J18:M18" si="22">J12</f>
        <v>-2</v>
      </c>
      <c r="K18" s="2">
        <f t="shared" si="22"/>
        <v>2</v>
      </c>
      <c r="L18" s="2">
        <f t="shared" si="22"/>
        <v>4</v>
      </c>
      <c r="M18" s="2">
        <f t="shared" si="22"/>
        <v>12</v>
      </c>
      <c r="S18">
        <f>S12</f>
        <v>10</v>
      </c>
      <c r="T18">
        <f t="shared" ref="T18:W18" si="23">T12</f>
        <v>7.4999999999999991</v>
      </c>
      <c r="U18">
        <f t="shared" si="23"/>
        <v>6.4499999999999993</v>
      </c>
      <c r="V18">
        <f t="shared" si="23"/>
        <v>6.0749999999999984</v>
      </c>
      <c r="W18">
        <f t="shared" si="23"/>
        <v>4.4130000000000003</v>
      </c>
    </row>
    <row r="19" spans="5:26" x14ac:dyDescent="0.25">
      <c r="I19" s="2">
        <f>I13</f>
        <v>0</v>
      </c>
      <c r="J19" s="2">
        <f t="shared" ref="J19:M19" si="24">J13</f>
        <v>-4</v>
      </c>
      <c r="K19" s="2">
        <f t="shared" si="24"/>
        <v>2</v>
      </c>
      <c r="L19" s="2">
        <f t="shared" si="24"/>
        <v>2</v>
      </c>
      <c r="M19" s="2">
        <f t="shared" si="24"/>
        <v>10</v>
      </c>
      <c r="S19">
        <f>S13</f>
        <v>0</v>
      </c>
      <c r="T19">
        <f t="shared" ref="T19:W19" si="25">T13</f>
        <v>0.82500000000000107</v>
      </c>
      <c r="U19">
        <f t="shared" si="25"/>
        <v>1.2374999999999998</v>
      </c>
      <c r="V19">
        <f t="shared" si="25"/>
        <v>1.5130500000000007</v>
      </c>
      <c r="W19">
        <f t="shared" si="25"/>
        <v>0.22465000000000002</v>
      </c>
    </row>
    <row r="20" spans="5:26" x14ac:dyDescent="0.25">
      <c r="I20" s="2">
        <f>I14</f>
        <v>0</v>
      </c>
      <c r="J20" s="2">
        <f t="shared" ref="J20:M20" si="26">J14</f>
        <v>0</v>
      </c>
      <c r="K20" s="2">
        <f t="shared" si="26"/>
        <v>2</v>
      </c>
      <c r="L20" s="2">
        <f t="shared" si="26"/>
        <v>-5</v>
      </c>
      <c r="M20" s="2">
        <f t="shared" si="26"/>
        <v>-9</v>
      </c>
      <c r="S20">
        <f>S14</f>
        <v>0</v>
      </c>
      <c r="T20">
        <f t="shared" ref="T20:W20" si="27">T14</f>
        <v>0</v>
      </c>
      <c r="U20">
        <f t="shared" si="27"/>
        <v>5.2800000000002623E-2</v>
      </c>
      <c r="V20">
        <f t="shared" si="27"/>
        <v>0.11880000000000157</v>
      </c>
      <c r="W20">
        <f t="shared" si="27"/>
        <v>4.5160000000000367E-2</v>
      </c>
    </row>
    <row r="21" spans="5:26" x14ac:dyDescent="0.25">
      <c r="I21" s="2">
        <f>I15-$N$15*I14</f>
        <v>0</v>
      </c>
      <c r="J21" s="2">
        <f t="shared" ref="J21:M21" si="28">J15-$N$15*J14</f>
        <v>0</v>
      </c>
      <c r="K21" s="2">
        <f t="shared" si="28"/>
        <v>0</v>
      </c>
      <c r="L21" s="2">
        <f t="shared" si="28"/>
        <v>-3</v>
      </c>
      <c r="M21" s="2">
        <f t="shared" si="28"/>
        <v>-3</v>
      </c>
      <c r="S21">
        <f>S15-$N$15*S14</f>
        <v>0</v>
      </c>
      <c r="T21">
        <f t="shared" ref="T21:W21" si="29">T15-$N$15*T14</f>
        <v>0</v>
      </c>
      <c r="U21">
        <f>U15-$X$15*U14</f>
        <v>0</v>
      </c>
      <c r="V21">
        <f t="shared" ref="V21:W21" si="30">V15-$X$15*V14</f>
        <v>3.0888000000082183E-3</v>
      </c>
      <c r="W21">
        <f t="shared" si="30"/>
        <v>-3.9599999996947632E-5</v>
      </c>
    </row>
    <row r="23" spans="5:26" x14ac:dyDescent="0.25">
      <c r="O23" t="s">
        <v>3</v>
      </c>
      <c r="P23">
        <f>M21/L21</f>
        <v>1</v>
      </c>
      <c r="Y23" t="s">
        <v>3</v>
      </c>
      <c r="Z23">
        <f>W21/V21</f>
        <v>-1.2820512819490504E-2</v>
      </c>
    </row>
    <row r="24" spans="5:26" x14ac:dyDescent="0.25">
      <c r="O24" t="s">
        <v>0</v>
      </c>
      <c r="P24">
        <f>(M20-L20*P23)/K20</f>
        <v>-2</v>
      </c>
      <c r="Y24" t="s">
        <v>0</v>
      </c>
      <c r="Z24">
        <f>(W20-V20*Z23)/U20</f>
        <v>0.8841491841468474</v>
      </c>
    </row>
    <row r="25" spans="5:26" x14ac:dyDescent="0.25">
      <c r="O25" t="s">
        <v>1</v>
      </c>
      <c r="P25">
        <f>(M19-L19*P23-K19*P24)/J19</f>
        <v>-3</v>
      </c>
      <c r="Y25" t="s">
        <v>1</v>
      </c>
      <c r="Z25">
        <f>(W19-V19*Z23-U19*Z24)/T19</f>
        <v>-1.0304079254062937</v>
      </c>
    </row>
    <row r="26" spans="5:26" x14ac:dyDescent="0.25">
      <c r="O26" t="s">
        <v>2</v>
      </c>
      <c r="P26">
        <f>(M18-L18*P23-K18*P24-J18*P25)/I18</f>
        <v>1</v>
      </c>
      <c r="Y26" t="s">
        <v>2</v>
      </c>
      <c r="Z26">
        <f>(W18-V18*Z23-U18*Z24-T18*Z25)/S18</f>
        <v>0.65161818181784414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M17" sqref="M17"/>
    </sheetView>
  </sheetViews>
  <sheetFormatPr defaultRowHeight="15" x14ac:dyDescent="0.25"/>
  <cols>
    <col min="2" max="2" width="12.28515625" customWidth="1"/>
  </cols>
  <sheetData>
    <row r="1" spans="1:19" x14ac:dyDescent="0.25">
      <c r="A1" t="s">
        <v>4</v>
      </c>
      <c r="B1" t="s">
        <v>5</v>
      </c>
      <c r="C1" t="s">
        <v>6</v>
      </c>
      <c r="D1" t="s">
        <v>7</v>
      </c>
      <c r="E1" t="s">
        <v>9</v>
      </c>
      <c r="I1" t="s">
        <v>4</v>
      </c>
      <c r="J1" t="s">
        <v>5</v>
      </c>
      <c r="K1" t="s">
        <v>6</v>
      </c>
      <c r="L1" t="s">
        <v>12</v>
      </c>
      <c r="M1" t="s">
        <v>18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25">
      <c r="A2">
        <v>1.05</v>
      </c>
      <c r="B2">
        <v>-0.15</v>
      </c>
      <c r="C2">
        <f>A2^2</f>
        <v>1.1025</v>
      </c>
      <c r="D2">
        <f>B2^2</f>
        <v>2.2499999999999999E-2</v>
      </c>
      <c r="E2">
        <f>A2*B2</f>
        <v>-0.1575</v>
      </c>
      <c r="I2">
        <v>0.3</v>
      </c>
      <c r="J2">
        <v>0.43</v>
      </c>
      <c r="K2">
        <f>I2^2</f>
        <v>0.09</v>
      </c>
      <c r="L2">
        <f>I2^3</f>
        <v>2.7E-2</v>
      </c>
      <c r="M2">
        <f>I2^4</f>
        <v>8.0999999999999996E-3</v>
      </c>
      <c r="N2">
        <f>I2^5</f>
        <v>2.4299999999999999E-3</v>
      </c>
      <c r="O2">
        <f>I2^6</f>
        <v>7.2899999999999994E-4</v>
      </c>
      <c r="P2">
        <f>I2*J2</f>
        <v>0.129</v>
      </c>
      <c r="Q2">
        <f>J2*K2</f>
        <v>3.8699999999999998E-2</v>
      </c>
      <c r="R2">
        <f>J2*L2</f>
        <v>1.1610000000000001E-2</v>
      </c>
    </row>
    <row r="3" spans="1:19" x14ac:dyDescent="0.25">
      <c r="A3">
        <v>1.95</v>
      </c>
      <c r="B3">
        <v>1</v>
      </c>
      <c r="C3">
        <f t="shared" ref="C3:C6" si="0">A3^2</f>
        <v>3.8024999999999998</v>
      </c>
      <c r="D3">
        <f t="shared" ref="D3:D6" si="1">B3^2</f>
        <v>1</v>
      </c>
      <c r="E3">
        <f t="shared" ref="E3:E6" si="2">A3*B3</f>
        <v>1.95</v>
      </c>
      <c r="I3">
        <f>I2+0.1</f>
        <v>0.4</v>
      </c>
      <c r="J3">
        <v>0.36</v>
      </c>
      <c r="K3">
        <f t="shared" ref="K3:K12" si="3">I3^2</f>
        <v>0.16000000000000003</v>
      </c>
      <c r="L3">
        <f t="shared" ref="L3:L10" si="4">I3^3</f>
        <v>6.4000000000000015E-2</v>
      </c>
      <c r="M3">
        <f t="shared" ref="M3:M11" si="5">I3^4</f>
        <v>2.5600000000000012E-2</v>
      </c>
      <c r="N3">
        <f>I3^5</f>
        <v>1.0240000000000006E-2</v>
      </c>
      <c r="O3">
        <f>I3^6</f>
        <v>4.0960000000000024E-3</v>
      </c>
      <c r="P3">
        <f>I3*J3</f>
        <v>0.14399999999999999</v>
      </c>
      <c r="Q3">
        <f>J3*K3</f>
        <v>5.7600000000000012E-2</v>
      </c>
      <c r="R3">
        <f>J3*L3</f>
        <v>2.3040000000000005E-2</v>
      </c>
    </row>
    <row r="4" spans="1:19" x14ac:dyDescent="0.25">
      <c r="A4">
        <v>2.1</v>
      </c>
      <c r="B4">
        <v>2</v>
      </c>
      <c r="C4">
        <f t="shared" si="0"/>
        <v>4.41</v>
      </c>
      <c r="D4">
        <f t="shared" si="1"/>
        <v>4</v>
      </c>
      <c r="E4">
        <f t="shared" si="2"/>
        <v>4.2</v>
      </c>
      <c r="I4">
        <f t="shared" ref="I4:I12" si="6">I3+0.1</f>
        <v>0.5</v>
      </c>
      <c r="J4">
        <v>0.35</v>
      </c>
      <c r="K4">
        <f t="shared" si="3"/>
        <v>0.25</v>
      </c>
      <c r="L4">
        <f t="shared" si="4"/>
        <v>0.125</v>
      </c>
      <c r="M4">
        <f t="shared" si="5"/>
        <v>6.25E-2</v>
      </c>
      <c r="N4">
        <f>I4^5</f>
        <v>3.125E-2</v>
      </c>
      <c r="O4">
        <f>I4^6</f>
        <v>1.5625E-2</v>
      </c>
      <c r="P4">
        <f>I4*J4</f>
        <v>0.17499999999999999</v>
      </c>
      <c r="Q4">
        <f>J4*K4</f>
        <v>8.7499999999999994E-2</v>
      </c>
      <c r="R4">
        <f>J4*L4</f>
        <v>4.3749999999999997E-2</v>
      </c>
    </row>
    <row r="5" spans="1:19" x14ac:dyDescent="0.25">
      <c r="A5">
        <v>3.5</v>
      </c>
      <c r="B5">
        <v>3.2</v>
      </c>
      <c r="C5">
        <f t="shared" si="0"/>
        <v>12.25</v>
      </c>
      <c r="D5">
        <f t="shared" si="1"/>
        <v>10.240000000000002</v>
      </c>
      <c r="E5">
        <f t="shared" si="2"/>
        <v>11.200000000000001</v>
      </c>
      <c r="I5">
        <f t="shared" si="6"/>
        <v>0.6</v>
      </c>
      <c r="J5">
        <v>0.38</v>
      </c>
      <c r="K5">
        <f t="shared" si="3"/>
        <v>0.36</v>
      </c>
      <c r="L5">
        <f t="shared" si="4"/>
        <v>0.216</v>
      </c>
      <c r="M5">
        <f t="shared" si="5"/>
        <v>0.12959999999999999</v>
      </c>
      <c r="N5">
        <f>I5^5</f>
        <v>7.7759999999999996E-2</v>
      </c>
      <c r="O5">
        <f>I5^6</f>
        <v>4.6655999999999996E-2</v>
      </c>
      <c r="P5">
        <f>I5*J5</f>
        <v>0.22799999999999998</v>
      </c>
      <c r="Q5">
        <f>J5*K5</f>
        <v>0.1368</v>
      </c>
      <c r="R5">
        <f>J5*L5</f>
        <v>8.208E-2</v>
      </c>
    </row>
    <row r="6" spans="1:19" x14ac:dyDescent="0.25">
      <c r="A6">
        <v>4.05</v>
      </c>
      <c r="B6">
        <v>4.4000000000000004</v>
      </c>
      <c r="C6">
        <f t="shared" si="0"/>
        <v>16.4025</v>
      </c>
      <c r="D6">
        <f t="shared" si="1"/>
        <v>19.360000000000003</v>
      </c>
      <c r="E6">
        <f t="shared" si="2"/>
        <v>17.82</v>
      </c>
      <c r="I6">
        <f t="shared" si="6"/>
        <v>0.7</v>
      </c>
      <c r="J6">
        <v>0.37</v>
      </c>
      <c r="K6">
        <f t="shared" si="3"/>
        <v>0.48999999999999994</v>
      </c>
      <c r="L6">
        <f t="shared" si="4"/>
        <v>0.34299999999999992</v>
      </c>
      <c r="M6">
        <f t="shared" si="5"/>
        <v>0.24009999999999992</v>
      </c>
      <c r="N6">
        <f>I6^5</f>
        <v>0.16806999999999994</v>
      </c>
      <c r="O6">
        <f>I6^6</f>
        <v>0.11764899999999995</v>
      </c>
      <c r="P6">
        <f>I6*J6</f>
        <v>0.25900000000000001</v>
      </c>
      <c r="Q6">
        <f>J6*K6</f>
        <v>0.18129999999999996</v>
      </c>
      <c r="R6">
        <f>J6*L6</f>
        <v>0.12690999999999997</v>
      </c>
    </row>
    <row r="7" spans="1:19" x14ac:dyDescent="0.25">
      <c r="A7" s="2">
        <f>SUM(A2:A6)</f>
        <v>12.649999999999999</v>
      </c>
      <c r="B7" s="2">
        <f>SUM(B2:B6)</f>
        <v>10.450000000000001</v>
      </c>
      <c r="C7" s="2">
        <f>SUM(C2:C6)</f>
        <v>37.967500000000001</v>
      </c>
      <c r="D7" s="2">
        <f>SUM(D2:D6)</f>
        <v>34.622500000000002</v>
      </c>
      <c r="E7" s="2">
        <f>SUM(E2:E6)</f>
        <v>35.012500000000003</v>
      </c>
      <c r="F7" t="s">
        <v>8</v>
      </c>
      <c r="I7">
        <f t="shared" si="6"/>
        <v>0.79999999999999993</v>
      </c>
      <c r="J7">
        <v>0.373</v>
      </c>
      <c r="K7">
        <f t="shared" si="3"/>
        <v>0.6399999999999999</v>
      </c>
      <c r="L7">
        <f t="shared" si="4"/>
        <v>0.5119999999999999</v>
      </c>
      <c r="M7">
        <f t="shared" si="5"/>
        <v>0.40959999999999985</v>
      </c>
      <c r="N7">
        <f>I7^5</f>
        <v>0.32767999999999986</v>
      </c>
      <c r="O7">
        <f>I7^6</f>
        <v>0.26214399999999988</v>
      </c>
      <c r="P7">
        <f>I7*J7</f>
        <v>0.2984</v>
      </c>
      <c r="Q7">
        <f>J7*K7</f>
        <v>0.23871999999999996</v>
      </c>
      <c r="R7">
        <f>J7*L7</f>
        <v>0.19097599999999995</v>
      </c>
    </row>
    <row r="8" spans="1:19" x14ac:dyDescent="0.25">
      <c r="I8">
        <f t="shared" si="6"/>
        <v>0.89999999999999991</v>
      </c>
      <c r="J8">
        <v>0.39</v>
      </c>
      <c r="K8">
        <f t="shared" si="3"/>
        <v>0.80999999999999983</v>
      </c>
      <c r="L8">
        <f t="shared" si="4"/>
        <v>0.72899999999999976</v>
      </c>
      <c r="M8">
        <f t="shared" si="5"/>
        <v>0.65609999999999968</v>
      </c>
      <c r="N8">
        <f>I8^5</f>
        <v>0.59048999999999963</v>
      </c>
      <c r="O8">
        <f>I8^6</f>
        <v>0.53144099999999961</v>
      </c>
      <c r="P8">
        <f>I8*J8</f>
        <v>0.35099999999999998</v>
      </c>
      <c r="Q8">
        <f>J8*K8</f>
        <v>0.31589999999999996</v>
      </c>
      <c r="R8">
        <f>J8*L8</f>
        <v>0.2843099999999999</v>
      </c>
    </row>
    <row r="9" spans="1:19" x14ac:dyDescent="0.25">
      <c r="I9">
        <f t="shared" si="6"/>
        <v>0.99999999999999989</v>
      </c>
      <c r="J9">
        <v>0.51</v>
      </c>
      <c r="K9">
        <f t="shared" si="3"/>
        <v>0.99999999999999978</v>
      </c>
      <c r="L9">
        <f t="shared" si="4"/>
        <v>0.99999999999999967</v>
      </c>
      <c r="M9">
        <f t="shared" si="5"/>
        <v>0.99999999999999956</v>
      </c>
      <c r="N9">
        <f>I9^5</f>
        <v>0.99999999999999944</v>
      </c>
      <c r="O9">
        <f>I9^6</f>
        <v>0.99999999999999933</v>
      </c>
      <c r="P9">
        <f>I9*J9</f>
        <v>0.5099999999999999</v>
      </c>
      <c r="Q9">
        <f>J9*K9</f>
        <v>0.5099999999999999</v>
      </c>
      <c r="R9">
        <f>J9*L9</f>
        <v>0.50999999999999979</v>
      </c>
    </row>
    <row r="10" spans="1:19" x14ac:dyDescent="0.25">
      <c r="A10">
        <f>C7</f>
        <v>37.967500000000001</v>
      </c>
      <c r="B10">
        <f>A7</f>
        <v>12.649999999999999</v>
      </c>
      <c r="C10">
        <f>E7</f>
        <v>35.012500000000003</v>
      </c>
      <c r="I10">
        <f t="shared" si="6"/>
        <v>1.0999999999999999</v>
      </c>
      <c r="J10">
        <v>0.6</v>
      </c>
      <c r="K10">
        <f t="shared" si="3"/>
        <v>1.2099999999999997</v>
      </c>
      <c r="L10">
        <f t="shared" si="4"/>
        <v>1.3309999999999995</v>
      </c>
      <c r="M10">
        <f t="shared" si="5"/>
        <v>1.4640999999999993</v>
      </c>
      <c r="N10">
        <f>I10^5</f>
        <v>1.610509999999999</v>
      </c>
      <c r="O10">
        <f>I10^6</f>
        <v>1.7715609999999988</v>
      </c>
      <c r="P10">
        <f>I10*J10</f>
        <v>0.65999999999999992</v>
      </c>
      <c r="Q10">
        <f>J10*K10</f>
        <v>0.72599999999999987</v>
      </c>
      <c r="R10">
        <f>J10*L10</f>
        <v>0.79859999999999964</v>
      </c>
    </row>
    <row r="11" spans="1:19" x14ac:dyDescent="0.25">
      <c r="A11">
        <f>A7</f>
        <v>12.649999999999999</v>
      </c>
      <c r="B11">
        <v>5</v>
      </c>
      <c r="C11">
        <f>B7</f>
        <v>10.450000000000001</v>
      </c>
      <c r="D11">
        <f>A11/A10</f>
        <v>0.33317969315862245</v>
      </c>
      <c r="I11">
        <f t="shared" si="6"/>
        <v>1.2</v>
      </c>
      <c r="J11">
        <v>0.65</v>
      </c>
      <c r="K11">
        <f t="shared" si="3"/>
        <v>1.44</v>
      </c>
      <c r="L11">
        <f>I11^3</f>
        <v>1.728</v>
      </c>
      <c r="M11">
        <f t="shared" si="5"/>
        <v>2.0735999999999999</v>
      </c>
      <c r="N11">
        <f>I11^5</f>
        <v>2.4883199999999999</v>
      </c>
      <c r="O11">
        <f>I11^6</f>
        <v>2.9859839999999997</v>
      </c>
      <c r="P11">
        <f>I11*J11</f>
        <v>0.78</v>
      </c>
      <c r="Q11">
        <f>J11*K11</f>
        <v>0.93599999999999994</v>
      </c>
      <c r="R11">
        <f>J11*L11</f>
        <v>1.1232</v>
      </c>
    </row>
    <row r="12" spans="1:19" x14ac:dyDescent="0.25">
      <c r="I12" s="2">
        <f>SUM(I2:I11)</f>
        <v>7.4999999999999991</v>
      </c>
      <c r="J12" s="2">
        <f>SUM(J2:J11)</f>
        <v>4.4130000000000003</v>
      </c>
      <c r="K12" s="2">
        <f>SUM(K2:K11)</f>
        <v>6.4499999999999993</v>
      </c>
      <c r="L12" s="2">
        <f t="shared" ref="L12:Q12" si="7">SUM(L2:L11)</f>
        <v>6.0749999999999984</v>
      </c>
      <c r="M12" s="2">
        <f>SUM(M2:M11)</f>
        <v>6.0692999999999984</v>
      </c>
      <c r="N12" s="2">
        <f>SUM(N2:N11)</f>
        <v>6.3067499999999974</v>
      </c>
      <c r="O12" s="2">
        <f>SUM(O2:O11)</f>
        <v>6.7358849999999979</v>
      </c>
      <c r="P12" s="2">
        <f>SUM(P2:P11)</f>
        <v>3.5343999999999998</v>
      </c>
      <c r="Q12" s="2">
        <f>SUM(Q2:Q11)</f>
        <v>3.2285199999999996</v>
      </c>
      <c r="R12" s="2">
        <f>SUM(R2:R11)</f>
        <v>3.194475999999999</v>
      </c>
      <c r="S12" t="s">
        <v>8</v>
      </c>
    </row>
    <row r="14" spans="1:19" x14ac:dyDescent="0.25">
      <c r="A14">
        <f>A10</f>
        <v>37.967500000000001</v>
      </c>
      <c r="B14">
        <f>B10</f>
        <v>12.649999999999999</v>
      </c>
      <c r="C14">
        <f>C10</f>
        <v>35.012500000000003</v>
      </c>
      <c r="I14">
        <v>10</v>
      </c>
      <c r="J14">
        <v>7.4999999999999991</v>
      </c>
      <c r="K14">
        <v>6.4499999999999993</v>
      </c>
      <c r="L14">
        <v>6.0749999999999984</v>
      </c>
      <c r="M14">
        <v>4.4130000000000003</v>
      </c>
    </row>
    <row r="15" spans="1:19" x14ac:dyDescent="0.25">
      <c r="A15">
        <f>A11-$D$11*A10</f>
        <v>0</v>
      </c>
      <c r="B15">
        <f t="shared" ref="B15:C15" si="8">B11-$D$11*B10</f>
        <v>0.78527688154342634</v>
      </c>
      <c r="C15">
        <f t="shared" si="8"/>
        <v>-1.2154540067162678</v>
      </c>
      <c r="I15">
        <v>7.4999999999999991</v>
      </c>
      <c r="J15">
        <v>6.4499999999999993</v>
      </c>
      <c r="K15">
        <v>6.0749999999999984</v>
      </c>
      <c r="L15">
        <v>6.0692999999999984</v>
      </c>
      <c r="M15">
        <v>3.5343999999999998</v>
      </c>
    </row>
    <row r="16" spans="1:19" x14ac:dyDescent="0.25">
      <c r="I16">
        <v>6.4499999999999993</v>
      </c>
      <c r="J16">
        <v>6.0749999999999984</v>
      </c>
      <c r="K16">
        <v>6.0692999999999984</v>
      </c>
      <c r="L16">
        <v>6.3067499999999974</v>
      </c>
      <c r="M16">
        <v>3.2285199999999996</v>
      </c>
    </row>
    <row r="17" spans="1:13" x14ac:dyDescent="0.25">
      <c r="A17" t="s">
        <v>10</v>
      </c>
      <c r="B17">
        <f>C15/B15</f>
        <v>-1.5478031192352788</v>
      </c>
      <c r="I17">
        <v>6.0749999999999984</v>
      </c>
      <c r="J17">
        <v>6.0692999999999984</v>
      </c>
      <c r="K17">
        <v>6.3067499999999974</v>
      </c>
      <c r="L17">
        <v>6.7358849999999979</v>
      </c>
      <c r="M17">
        <v>3.194475999999999</v>
      </c>
    </row>
    <row r="18" spans="1:13" x14ac:dyDescent="0.25">
      <c r="A18" t="s">
        <v>11</v>
      </c>
      <c r="B18">
        <f>(C14-B14*B17)/A14</f>
        <v>1.4378668455475414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2019-04-01T11:50:28Z</dcterms:created>
  <dcterms:modified xsi:type="dcterms:W3CDTF">2019-04-08T12:57:36Z</dcterms:modified>
</cp:coreProperties>
</file>