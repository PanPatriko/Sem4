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Arkusz1" sheetId="1" r:id="rId1"/>
    <sheet name="Arkusz2" sheetId="2" r:id="rId2"/>
    <sheet name="Arkusz3" sheetId="3" r:id="rId3"/>
  </sheets>
  <calcPr calcId="145621"/>
</workbook>
</file>

<file path=xl/calcChain.xml><?xml version="1.0" encoding="utf-8"?>
<calcChain xmlns="http://schemas.openxmlformats.org/spreadsheetml/2006/main">
  <c r="J32" i="1" l="1"/>
  <c r="J28" i="1"/>
  <c r="J29" i="1"/>
  <c r="J30" i="1"/>
  <c r="J31" i="1"/>
  <c r="I31" i="1"/>
  <c r="I27" i="1"/>
  <c r="I28" i="1" s="1"/>
  <c r="I29" i="1" s="1"/>
  <c r="I30" i="1" s="1"/>
  <c r="I26" i="1"/>
  <c r="J26" i="1"/>
  <c r="J25" i="1"/>
  <c r="J24" i="1"/>
  <c r="J23" i="1"/>
  <c r="E22" i="1"/>
  <c r="E13" i="1"/>
  <c r="E19" i="1"/>
  <c r="E20" i="1"/>
  <c r="E21" i="1"/>
  <c r="E18" i="1"/>
  <c r="E17" i="1"/>
  <c r="J18" i="1"/>
  <c r="L18" i="1"/>
  <c r="I7" i="1" s="1"/>
  <c r="J7" i="1" s="1"/>
  <c r="L17" i="1"/>
  <c r="J3" i="1"/>
  <c r="J4" i="1"/>
  <c r="J5" i="1"/>
  <c r="J6" i="1"/>
  <c r="J2" i="1"/>
  <c r="E2" i="1"/>
  <c r="E12" i="1" s="1"/>
  <c r="E7" i="1"/>
  <c r="E8" i="1"/>
  <c r="G13" i="1"/>
  <c r="D6" i="1"/>
  <c r="E6" i="1" s="1"/>
  <c r="D5" i="1"/>
  <c r="E5" i="1" s="1"/>
  <c r="G12" i="1"/>
  <c r="E3" i="1"/>
  <c r="E4" i="1"/>
  <c r="B2" i="1"/>
  <c r="C9" i="1"/>
  <c r="B5" i="1"/>
  <c r="B8" i="1" s="1"/>
  <c r="B3" i="1"/>
  <c r="B4" i="1"/>
  <c r="B7" i="1" s="1"/>
  <c r="J27" i="1" l="1"/>
  <c r="I8" i="1"/>
  <c r="B9" i="1"/>
  <c r="E11" i="1"/>
  <c r="J17" i="1"/>
  <c r="J8" i="1" l="1"/>
  <c r="I9" i="1"/>
  <c r="I10" i="1" l="1"/>
  <c r="J9" i="1"/>
  <c r="I11" i="1" l="1"/>
  <c r="J10" i="1"/>
  <c r="I12" i="1" l="1"/>
  <c r="J11" i="1"/>
  <c r="J12" i="1" l="1"/>
  <c r="I13" i="1"/>
  <c r="J13" i="1" s="1"/>
</calcChain>
</file>

<file path=xl/sharedStrings.xml><?xml version="1.0" encoding="utf-8"?>
<sst xmlns="http://schemas.openxmlformats.org/spreadsheetml/2006/main" count="29" uniqueCount="12">
  <si>
    <t>x</t>
  </si>
  <si>
    <t>f(x)</t>
  </si>
  <si>
    <t>h=0,5</t>
  </si>
  <si>
    <t>sum</t>
  </si>
  <si>
    <t>n=2</t>
  </si>
  <si>
    <t>n=3</t>
  </si>
  <si>
    <t>h=</t>
  </si>
  <si>
    <t>h-</t>
  </si>
  <si>
    <t>n=4</t>
  </si>
  <si>
    <t>metoda</t>
  </si>
  <si>
    <t>simpsona</t>
  </si>
  <si>
    <t>trazpezy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</si>
</sst>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0" fillId="0" borderId="0" xfId="0" applyNumberFormat="1"/>
  </cellXfs>
  <cellStyles count="2">
    <cellStyle name="Dobre" xfId="1" builtinId="26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G25" sqref="G25"/>
    </sheetView>
  </sheetViews>
  <sheetFormatPr defaultRowHeight="15" x14ac:dyDescent="0.25"/>
  <cols>
    <col min="15" max="15" width="9.85546875" bestFit="1" customWidth="1"/>
  </cols>
  <sheetData>
    <row r="1" spans="1:11" x14ac:dyDescent="0.25">
      <c r="A1" t="s">
        <v>0</v>
      </c>
      <c r="B1" t="s">
        <v>1</v>
      </c>
      <c r="D1" t="s">
        <v>0</v>
      </c>
      <c r="E1" t="s">
        <v>1</v>
      </c>
      <c r="I1" t="s">
        <v>0</v>
      </c>
      <c r="J1" t="s">
        <v>1</v>
      </c>
      <c r="K1" t="s">
        <v>9</v>
      </c>
    </row>
    <row r="2" spans="1:11" x14ac:dyDescent="0.25">
      <c r="A2">
        <v>1</v>
      </c>
      <c r="B2">
        <f>2*A2+A2^2</f>
        <v>3</v>
      </c>
      <c r="D2">
        <v>1</v>
      </c>
      <c r="E2">
        <f>2*D2+D2^2</f>
        <v>3</v>
      </c>
      <c r="I2">
        <v>1</v>
      </c>
      <c r="J2">
        <f>2*I2+I2^2</f>
        <v>3</v>
      </c>
      <c r="K2" t="s">
        <v>10</v>
      </c>
    </row>
    <row r="3" spans="1:11" x14ac:dyDescent="0.25">
      <c r="A3">
        <v>2</v>
      </c>
      <c r="B3">
        <f t="shared" ref="B3:B5" si="0">2*A3+A3^2</f>
        <v>8</v>
      </c>
      <c r="D3">
        <v>2</v>
      </c>
      <c r="E3">
        <f t="shared" ref="E3:E8" si="1">2*D3+D3^2</f>
        <v>8</v>
      </c>
      <c r="I3" s="1">
        <v>1.25</v>
      </c>
      <c r="J3">
        <f t="shared" ref="J3:J13" si="2">2*I3+I3^2</f>
        <v>4.0625</v>
      </c>
    </row>
    <row r="4" spans="1:11" x14ac:dyDescent="0.25">
      <c r="A4">
        <v>1.25</v>
      </c>
      <c r="B4">
        <f t="shared" si="0"/>
        <v>4.0625</v>
      </c>
      <c r="D4">
        <v>1.5</v>
      </c>
      <c r="E4">
        <f t="shared" si="1"/>
        <v>5.25</v>
      </c>
      <c r="I4" s="1">
        <v>1.5</v>
      </c>
      <c r="J4">
        <f t="shared" si="2"/>
        <v>5.25</v>
      </c>
    </row>
    <row r="5" spans="1:11" x14ac:dyDescent="0.25">
      <c r="A5">
        <v>1.75</v>
      </c>
      <c r="B5">
        <f t="shared" si="0"/>
        <v>6.5625</v>
      </c>
      <c r="D5">
        <f>4/3</f>
        <v>1.3333333333333333</v>
      </c>
      <c r="E5">
        <f t="shared" si="1"/>
        <v>4.4444444444444446</v>
      </c>
      <c r="I5" s="1">
        <v>1.75</v>
      </c>
      <c r="J5">
        <f t="shared" si="2"/>
        <v>6.5625</v>
      </c>
    </row>
    <row r="6" spans="1:11" x14ac:dyDescent="0.25">
      <c r="D6">
        <f>5/3</f>
        <v>1.6666666666666667</v>
      </c>
      <c r="E6">
        <f t="shared" si="1"/>
        <v>6.1111111111111116</v>
      </c>
      <c r="I6">
        <v>2</v>
      </c>
      <c r="J6">
        <f t="shared" si="2"/>
        <v>8</v>
      </c>
    </row>
    <row r="7" spans="1:11" x14ac:dyDescent="0.25">
      <c r="A7" t="s">
        <v>2</v>
      </c>
      <c r="B7">
        <f>B4*0.5</f>
        <v>2.03125</v>
      </c>
      <c r="D7">
        <v>1.25</v>
      </c>
      <c r="E7">
        <f t="shared" si="1"/>
        <v>4.0625</v>
      </c>
      <c r="I7" s="1">
        <f>I2+$L$18</f>
        <v>1.125</v>
      </c>
      <c r="J7">
        <f t="shared" si="2"/>
        <v>3.515625</v>
      </c>
    </row>
    <row r="8" spans="1:11" x14ac:dyDescent="0.25">
      <c r="B8">
        <f>B5*0.5</f>
        <v>3.28125</v>
      </c>
      <c r="D8">
        <v>1.75</v>
      </c>
      <c r="E8">
        <f t="shared" si="1"/>
        <v>6.5625</v>
      </c>
      <c r="F8" t="s">
        <v>11</v>
      </c>
      <c r="I8" s="1">
        <f>I7+$L$18</f>
        <v>1.25</v>
      </c>
      <c r="J8">
        <f t="shared" si="2"/>
        <v>4.0625</v>
      </c>
    </row>
    <row r="9" spans="1:11" x14ac:dyDescent="0.25">
      <c r="A9" t="s">
        <v>3</v>
      </c>
      <c r="B9">
        <f>SUM(B7:B8)</f>
        <v>5.3125</v>
      </c>
      <c r="C9" s="2">
        <f>16/3</f>
        <v>5.333333333333333</v>
      </c>
      <c r="I9" s="1">
        <f>I8+$L$18</f>
        <v>1.375</v>
      </c>
      <c r="J9">
        <f t="shared" si="2"/>
        <v>4.640625</v>
      </c>
    </row>
    <row r="10" spans="1:11" x14ac:dyDescent="0.25">
      <c r="I10" s="1">
        <f>I9+$L$18</f>
        <v>1.5</v>
      </c>
      <c r="J10">
        <f t="shared" si="2"/>
        <v>5.25</v>
      </c>
    </row>
    <row r="11" spans="1:11" x14ac:dyDescent="0.25">
      <c r="D11" t="s">
        <v>4</v>
      </c>
      <c r="E11">
        <f>G11/2*(E2+E3+2*E4)</f>
        <v>5.375</v>
      </c>
      <c r="F11" t="s">
        <v>6</v>
      </c>
      <c r="G11">
        <v>0.5</v>
      </c>
      <c r="I11" s="1">
        <f>I10+$L$18</f>
        <v>1.625</v>
      </c>
      <c r="J11">
        <f t="shared" si="2"/>
        <v>5.890625</v>
      </c>
    </row>
    <row r="12" spans="1:11" x14ac:dyDescent="0.25">
      <c r="D12" t="s">
        <v>5</v>
      </c>
      <c r="E12">
        <f>G12/2*(E2+E3+E5*2+E6*2)</f>
        <v>5.3518518518518521</v>
      </c>
      <c r="F12" t="s">
        <v>7</v>
      </c>
      <c r="G12" s="2">
        <f>1/3</f>
        <v>0.33333333333333331</v>
      </c>
      <c r="I12" s="1">
        <f>I11+$L$18</f>
        <v>1.75</v>
      </c>
      <c r="J12">
        <f t="shared" si="2"/>
        <v>6.5625</v>
      </c>
    </row>
    <row r="13" spans="1:11" x14ac:dyDescent="0.25">
      <c r="D13" t="s">
        <v>8</v>
      </c>
      <c r="E13">
        <f>G13/2*(E2+E3+E4*2+E7*2+E8*2)</f>
        <v>5.34375</v>
      </c>
      <c r="F13" t="s">
        <v>6</v>
      </c>
      <c r="G13">
        <f>1/4</f>
        <v>0.25</v>
      </c>
      <c r="I13" s="1">
        <f>I12+$L$18</f>
        <v>1.875</v>
      </c>
      <c r="J13">
        <f t="shared" si="2"/>
        <v>7.265625</v>
      </c>
    </row>
    <row r="16" spans="1:11" x14ac:dyDescent="0.25">
      <c r="D16" t="s">
        <v>0</v>
      </c>
      <c r="E16" t="s">
        <v>1</v>
      </c>
    </row>
    <row r="17" spans="4:12" x14ac:dyDescent="0.25">
      <c r="D17">
        <v>-1</v>
      </c>
      <c r="E17">
        <f>COS(COS(D17))</f>
        <v>0.85755321584639344</v>
      </c>
      <c r="I17" t="s">
        <v>4</v>
      </c>
      <c r="J17">
        <f>L17/3*(J2+J6+4*J3+2*J4+4*J5)</f>
        <v>5.333333333333333</v>
      </c>
      <c r="K17" t="s">
        <v>6</v>
      </c>
      <c r="L17">
        <f>1/4</f>
        <v>0.25</v>
      </c>
    </row>
    <row r="18" spans="4:12" x14ac:dyDescent="0.25">
      <c r="D18">
        <v>1</v>
      </c>
      <c r="E18">
        <f>COS(COS(D18))</f>
        <v>0.85755321584639344</v>
      </c>
      <c r="I18" t="s">
        <v>8</v>
      </c>
      <c r="J18">
        <f>L18/3*(J2+J6+4*(J7+J9+J11+J13)+2*(J8+J10+J12))</f>
        <v>5.333333333333333</v>
      </c>
      <c r="K18" t="s">
        <v>6</v>
      </c>
      <c r="L18">
        <f>1/8</f>
        <v>0.125</v>
      </c>
    </row>
    <row r="19" spans="4:12" x14ac:dyDescent="0.25">
      <c r="D19">
        <v>-0.5</v>
      </c>
      <c r="E19">
        <f t="shared" ref="E19:E21" si="3">COS(COS(D19))</f>
        <v>0.63901249416525918</v>
      </c>
    </row>
    <row r="20" spans="4:12" x14ac:dyDescent="0.25">
      <c r="D20">
        <v>0</v>
      </c>
      <c r="E20">
        <f t="shared" si="3"/>
        <v>0.54030230586813977</v>
      </c>
    </row>
    <row r="21" spans="4:12" x14ac:dyDescent="0.25">
      <c r="D21">
        <v>0.5</v>
      </c>
      <c r="E21">
        <f t="shared" si="3"/>
        <v>0.63901249416525918</v>
      </c>
    </row>
    <row r="22" spans="4:12" x14ac:dyDescent="0.25">
      <c r="D22" t="s">
        <v>8</v>
      </c>
      <c r="E22">
        <f>G22/2*(E17+E18+2*(E19+E20+E21))</f>
        <v>1.3379402550225257</v>
      </c>
      <c r="F22" t="s">
        <v>6</v>
      </c>
      <c r="G22">
        <v>0.5</v>
      </c>
      <c r="I22" t="s">
        <v>0</v>
      </c>
      <c r="J22" t="s">
        <v>1</v>
      </c>
    </row>
    <row r="23" spans="4:12" x14ac:dyDescent="0.25">
      <c r="I23">
        <v>-1</v>
      </c>
      <c r="J23">
        <f>COS(COS(I23))</f>
        <v>0.85755321584639344</v>
      </c>
    </row>
    <row r="24" spans="4:12" x14ac:dyDescent="0.25">
      <c r="I24">
        <v>1</v>
      </c>
      <c r="J24">
        <f>COS(COS(I24))</f>
        <v>0.85755321584639344</v>
      </c>
    </row>
    <row r="25" spans="4:12" x14ac:dyDescent="0.25">
      <c r="I25">
        <v>-0.75</v>
      </c>
      <c r="J25">
        <f t="shared" ref="J25:J31" si="4">COS(COS(I25))</f>
        <v>0.74404708478876358</v>
      </c>
    </row>
    <row r="26" spans="4:12" x14ac:dyDescent="0.25">
      <c r="I26">
        <f>I25+$L$32</f>
        <v>-0.5</v>
      </c>
      <c r="J26">
        <f t="shared" si="4"/>
        <v>0.63901249416525918</v>
      </c>
    </row>
    <row r="27" spans="4:12" x14ac:dyDescent="0.25">
      <c r="I27">
        <f t="shared" ref="I27:I31" si="5">I26+$L$32</f>
        <v>-0.25</v>
      </c>
      <c r="J27">
        <f t="shared" si="4"/>
        <v>0.56619632445091272</v>
      </c>
    </row>
    <row r="28" spans="4:12" x14ac:dyDescent="0.25">
      <c r="I28">
        <f t="shared" si="5"/>
        <v>0</v>
      </c>
      <c r="J28">
        <f t="shared" si="4"/>
        <v>0.54030230586813977</v>
      </c>
    </row>
    <row r="29" spans="4:12" x14ac:dyDescent="0.25">
      <c r="I29">
        <f t="shared" si="5"/>
        <v>0.25</v>
      </c>
      <c r="J29">
        <f t="shared" si="4"/>
        <v>0.56619632445091272</v>
      </c>
    </row>
    <row r="30" spans="4:12" x14ac:dyDescent="0.25">
      <c r="I30">
        <f t="shared" si="5"/>
        <v>0.5</v>
      </c>
      <c r="J30">
        <f t="shared" si="4"/>
        <v>0.63901249416525918</v>
      </c>
    </row>
    <row r="31" spans="4:12" x14ac:dyDescent="0.25">
      <c r="I31">
        <f t="shared" si="5"/>
        <v>0.75</v>
      </c>
      <c r="J31">
        <f t="shared" si="4"/>
        <v>0.74404708478876358</v>
      </c>
    </row>
    <row r="32" spans="4:12" x14ac:dyDescent="0.25">
      <c r="I32" t="s">
        <v>8</v>
      </c>
      <c r="J32">
        <f>L32/3*(J23+J24+4*(J25+J27+J29+J31)+2*(J26+J28+J30))</f>
        <v>1.3194756911672925</v>
      </c>
      <c r="K32" t="s">
        <v>6</v>
      </c>
      <c r="L32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2019-05-13T11:59:21Z</dcterms:created>
  <dcterms:modified xsi:type="dcterms:W3CDTF">2019-05-13T13:03:15Z</dcterms:modified>
</cp:coreProperties>
</file>